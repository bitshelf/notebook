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1" i="1" l="1"/>
  <c r="D5" i="1" l="1"/>
  <c r="D22" i="1" l="1"/>
  <c r="B22" i="1"/>
  <c r="B10" i="1" l="1"/>
  <c r="C9" i="1"/>
  <c r="H3" i="1" l="1"/>
  <c r="D3" i="1"/>
  <c r="E3" i="1" s="1"/>
  <c r="H4" i="1" l="1"/>
  <c r="H5" i="1" s="1"/>
  <c r="H6" i="1" s="1"/>
  <c r="H12" i="1"/>
  <c r="H7" i="1"/>
</calcChain>
</file>

<file path=xl/sharedStrings.xml><?xml version="1.0" encoding="utf-8"?>
<sst xmlns="http://schemas.openxmlformats.org/spreadsheetml/2006/main" count="31" uniqueCount="31">
  <si>
    <t>for amlogic integer timing</t>
    <phoneticPr fontId="1" type="noConversion"/>
  </si>
  <si>
    <t>h_total</t>
    <phoneticPr fontId="1" type="noConversion"/>
  </si>
  <si>
    <t>v_total</t>
    <phoneticPr fontId="1" type="noConversion"/>
  </si>
  <si>
    <t>p_clk</t>
    <phoneticPr fontId="1" type="noConversion"/>
  </si>
  <si>
    <t>result</t>
    <phoneticPr fontId="1" type="noConversion"/>
  </si>
  <si>
    <t>judge</t>
    <phoneticPr fontId="1" type="noConversion"/>
  </si>
  <si>
    <t>h_total*v_total</t>
    <phoneticPr fontId="1" type="noConversion"/>
  </si>
  <si>
    <t>mod(p_clk, h_total*v_total)</t>
    <phoneticPr fontId="1" type="noConversion"/>
  </si>
  <si>
    <t>need pclk</t>
    <phoneticPr fontId="1" type="noConversion"/>
  </si>
  <si>
    <t>uausl pclk(60*ht*vt)</t>
    <phoneticPr fontId="1" type="noConversion"/>
  </si>
  <si>
    <t>bit rate</t>
    <phoneticPr fontId="1" type="noConversion"/>
  </si>
  <si>
    <t>lane</t>
    <phoneticPr fontId="1" type="noConversion"/>
  </si>
  <si>
    <t>fps</t>
    <phoneticPr fontId="1" type="noConversion"/>
  </si>
  <si>
    <t>bpp( bit/pixel)</t>
    <phoneticPr fontId="1" type="noConversion"/>
  </si>
  <si>
    <t>recommend bit rate</t>
    <phoneticPr fontId="1" type="noConversion"/>
  </si>
  <si>
    <t>recommend pclk</t>
    <phoneticPr fontId="1" type="noConversion"/>
  </si>
  <si>
    <t>remark</t>
    <phoneticPr fontId="1" type="noConversion"/>
  </si>
  <si>
    <t>base on amlogic</t>
    <phoneticPr fontId="1" type="noConversion"/>
  </si>
  <si>
    <t>want fps</t>
    <phoneticPr fontId="1" type="noConversion"/>
  </si>
  <si>
    <t>direct pclk</t>
    <phoneticPr fontId="1" type="noConversion"/>
  </si>
  <si>
    <t>timing</t>
    <phoneticPr fontId="1" type="noConversion"/>
  </si>
  <si>
    <t>hac</t>
    <phoneticPr fontId="1" type="noConversion"/>
  </si>
  <si>
    <t>vac</t>
    <phoneticPr fontId="1" type="noConversion"/>
  </si>
  <si>
    <t>hbp</t>
    <phoneticPr fontId="1" type="noConversion"/>
  </si>
  <si>
    <t>vbp</t>
    <phoneticPr fontId="1" type="noConversion"/>
  </si>
  <si>
    <t>hfp</t>
    <phoneticPr fontId="1" type="noConversion"/>
  </si>
  <si>
    <t>vfp</t>
    <phoneticPr fontId="1" type="noConversion"/>
  </si>
  <si>
    <t>hsync</t>
    <phoneticPr fontId="1" type="noConversion"/>
  </si>
  <si>
    <t>vsync</t>
    <phoneticPr fontId="1" type="noConversion"/>
  </si>
  <si>
    <t>ht</t>
    <phoneticPr fontId="1" type="noConversion"/>
  </si>
  <si>
    <t>vt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</si>
</sst>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249977111117893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1" xfId="0" applyBorder="1"/>
    <xf numFmtId="0" fontId="0" fillId="0" borderId="6" xfId="0" applyBorder="1"/>
    <xf numFmtId="0" fontId="0" fillId="0" borderId="7" xfId="0" applyBorder="1"/>
    <xf numFmtId="0" fontId="0" fillId="2" borderId="5" xfId="0" applyFill="1" applyBorder="1"/>
    <xf numFmtId="0" fontId="0" fillId="3" borderId="1" xfId="0" applyFill="1" applyBorder="1"/>
    <xf numFmtId="0" fontId="0" fillId="0" borderId="1" xfId="0" applyFill="1" applyBorder="1"/>
    <xf numFmtId="0" fontId="0" fillId="0" borderId="5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3" borderId="0" xfId="0" applyFill="1"/>
    <xf numFmtId="0" fontId="0" fillId="3" borderId="9" xfId="0" applyFill="1" applyBorder="1"/>
    <xf numFmtId="0" fontId="0" fillId="4" borderId="1" xfId="0" applyFill="1" applyBorder="1"/>
    <xf numFmtId="0" fontId="0" fillId="0" borderId="0" xfId="0" applyAlignment="1">
      <alignment horizontal="center"/>
    </xf>
    <xf numFmtId="0" fontId="0" fillId="0" borderId="8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9" xfId="0" applyBorder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CCE8C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Views>
    <sheetView tabSelected="1" workbookViewId="0">
      <selection activeCell="E13" sqref="E13"/>
    </sheetView>
  </sheetViews>
  <sheetFormatPr defaultRowHeight="14.25" x14ac:dyDescent="0.2"/>
  <cols>
    <col min="1" max="1" width="12.875" customWidth="1"/>
    <col min="3" max="3" width="10.5" bestFit="1" customWidth="1"/>
    <col min="4" max="4" width="11" customWidth="1"/>
    <col min="7" max="7" width="22.875" customWidth="1"/>
    <col min="8" max="8" width="12.75" bestFit="1" customWidth="1"/>
  </cols>
  <sheetData>
    <row r="1" spans="1:9" x14ac:dyDescent="0.2">
      <c r="A1" s="17" t="s">
        <v>0</v>
      </c>
      <c r="B1" s="17"/>
      <c r="C1" s="17"/>
      <c r="D1" s="17"/>
      <c r="E1" s="17"/>
      <c r="F1" s="17"/>
      <c r="I1" t="s">
        <v>16</v>
      </c>
    </row>
    <row r="2" spans="1:9" x14ac:dyDescent="0.2">
      <c r="A2" s="1" t="s">
        <v>1</v>
      </c>
      <c r="B2" s="5" t="s">
        <v>2</v>
      </c>
      <c r="C2" s="5" t="s">
        <v>3</v>
      </c>
      <c r="D2" s="5" t="s">
        <v>4</v>
      </c>
      <c r="E2" s="2" t="s">
        <v>5</v>
      </c>
    </row>
    <row r="3" spans="1:9" x14ac:dyDescent="0.2">
      <c r="A3" s="3">
        <v>1330</v>
      </c>
      <c r="B3" s="6">
        <v>1982</v>
      </c>
      <c r="C3" s="6">
        <v>200000000</v>
      </c>
      <c r="D3" s="6">
        <f>C3/(A3*B3)</f>
        <v>75.870807189517691</v>
      </c>
      <c r="E3" s="7" t="str">
        <f>IF(MOD(D3,1),"fail","ok")</f>
        <v>fail</v>
      </c>
      <c r="G3" s="4" t="s">
        <v>6</v>
      </c>
      <c r="H3" s="4">
        <f>A3*B3</f>
        <v>2636060</v>
      </c>
    </row>
    <row r="4" spans="1:9" x14ac:dyDescent="0.2">
      <c r="G4" s="4" t="s">
        <v>7</v>
      </c>
      <c r="H4" s="4">
        <f>MOD(C3,H3)</f>
        <v>2295500</v>
      </c>
    </row>
    <row r="5" spans="1:9" x14ac:dyDescent="0.2">
      <c r="A5" t="s">
        <v>18</v>
      </c>
      <c r="B5">
        <v>60</v>
      </c>
      <c r="C5" t="s">
        <v>19</v>
      </c>
      <c r="D5" s="14">
        <f>A3*B3*B5</f>
        <v>158163600</v>
      </c>
      <c r="G5" s="4" t="s">
        <v>8</v>
      </c>
      <c r="H5" s="4">
        <f>H3-H4</f>
        <v>340560</v>
      </c>
    </row>
    <row r="6" spans="1:9" x14ac:dyDescent="0.2">
      <c r="G6" s="4" t="s">
        <v>15</v>
      </c>
      <c r="H6" s="8">
        <f>C3+H5</f>
        <v>200340560</v>
      </c>
    </row>
    <row r="7" spans="1:9" x14ac:dyDescent="0.2">
      <c r="G7" s="9" t="s">
        <v>9</v>
      </c>
      <c r="H7" s="4">
        <f>H3*60</f>
        <v>158163600</v>
      </c>
    </row>
    <row r="8" spans="1:9" x14ac:dyDescent="0.2">
      <c r="A8" s="1" t="s">
        <v>11</v>
      </c>
      <c r="B8" s="2">
        <v>4</v>
      </c>
      <c r="C8" s="2"/>
    </row>
    <row r="9" spans="1:9" x14ac:dyDescent="0.2">
      <c r="A9" s="11" t="s">
        <v>13</v>
      </c>
      <c r="B9" s="13">
        <v>888</v>
      </c>
      <c r="C9" s="12">
        <f>IF(B9=888,24,18)</f>
        <v>24</v>
      </c>
    </row>
    <row r="10" spans="1:9" x14ac:dyDescent="0.2">
      <c r="A10" s="11" t="s">
        <v>12</v>
      </c>
      <c r="B10" s="12">
        <f>B5</f>
        <v>60</v>
      </c>
      <c r="C10" s="10"/>
    </row>
    <row r="11" spans="1:9" x14ac:dyDescent="0.2">
      <c r="G11" s="9" t="s">
        <v>10</v>
      </c>
      <c r="H11" s="12">
        <f>H3*C9*B10/B8</f>
        <v>948981600</v>
      </c>
    </row>
    <row r="12" spans="1:9" x14ac:dyDescent="0.2">
      <c r="G12" s="9" t="s">
        <v>14</v>
      </c>
      <c r="H12" s="15">
        <f>H11*1.058201</f>
        <v>1004213278.1015999</v>
      </c>
      <c r="I12" t="s">
        <v>17</v>
      </c>
    </row>
    <row r="17" spans="1:4" x14ac:dyDescent="0.2">
      <c r="A17" s="18" t="s">
        <v>20</v>
      </c>
      <c r="B17" s="19"/>
      <c r="C17" s="19"/>
      <c r="D17" s="20"/>
    </row>
    <row r="18" spans="1:4" x14ac:dyDescent="0.2">
      <c r="A18" s="4" t="s">
        <v>21</v>
      </c>
      <c r="B18" s="16">
        <v>1200</v>
      </c>
      <c r="C18" s="4" t="s">
        <v>22</v>
      </c>
      <c r="D18" s="16">
        <v>1920</v>
      </c>
    </row>
    <row r="19" spans="1:4" x14ac:dyDescent="0.2">
      <c r="A19" s="4" t="s">
        <v>23</v>
      </c>
      <c r="B19" s="16">
        <v>30</v>
      </c>
      <c r="C19" s="4" t="s">
        <v>24</v>
      </c>
      <c r="D19" s="16">
        <v>16</v>
      </c>
    </row>
    <row r="20" spans="1:4" x14ac:dyDescent="0.2">
      <c r="A20" s="4" t="s">
        <v>25</v>
      </c>
      <c r="B20" s="16">
        <v>60</v>
      </c>
      <c r="C20" s="4" t="s">
        <v>26</v>
      </c>
      <c r="D20" s="16">
        <v>16</v>
      </c>
    </row>
    <row r="21" spans="1:4" x14ac:dyDescent="0.2">
      <c r="A21" s="4" t="s">
        <v>27</v>
      </c>
      <c r="B21" s="16">
        <v>40</v>
      </c>
      <c r="C21" s="4" t="s">
        <v>28</v>
      </c>
      <c r="D21" s="16">
        <v>30</v>
      </c>
    </row>
    <row r="22" spans="1:4" x14ac:dyDescent="0.2">
      <c r="A22" s="4" t="s">
        <v>29</v>
      </c>
      <c r="B22" s="4">
        <f>B18+B19+B20+B21</f>
        <v>1330</v>
      </c>
      <c r="C22" s="4" t="s">
        <v>30</v>
      </c>
      <c r="D22" s="4">
        <f>D18+D19+D20+D21</f>
        <v>1982</v>
      </c>
    </row>
  </sheetData>
  <mergeCells count="2">
    <mergeCell ref="A1:F1"/>
    <mergeCell ref="A17:D17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2021-09-08T12:33:14Z</dcterms:modified>
</cp:coreProperties>
</file>